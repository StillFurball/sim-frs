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ester 6 &amp; 8" sheetId="1" state="visible" r:id="rId3"/>
  </sheets>
  <definedNames>
    <definedName function="false" hidden="true" localSheetId="0" name="_xlnm._FilterDatabase" vbProcedure="false">'Semester 6 &amp; 8'!$A$4:$P$48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<sst xmlns="http://schemas.openxmlformats.org/spreadsheetml/2006/main" count="522" uniqueCount="154">
  <si>
    <t xml:space="preserve">Daftar Mata Kuliah Semester 6 &amp; 8 — Jadwal Perkuliahan IF Genap 2025/2026</t>
  </si>
  <si>
    <t xml:space="preserve">Sumber: sheet 'Jadwal Kuliah' (hari/jam/ruang/dosen), 'Jadwal Kuliah (Ramadhan)' (jadwal Ramadhan), 'SIAKAD - IUP' (kode MK). Jam selesai = akhir slot ke-2 blok jadwal.</t>
  </si>
  <si>
    <t xml:space="preserve">No</t>
  </si>
  <si>
    <t xml:space="preserve">Semester</t>
  </si>
  <si>
    <t xml:space="preserve">Kode MK</t>
  </si>
  <si>
    <t xml:space="preserve">Mata Kuliah</t>
  </si>
  <si>
    <t xml:space="preserve">Kelas</t>
  </si>
  <si>
    <t xml:space="preserve">Prodi</t>
  </si>
  <si>
    <t xml:space="preserve">Jenis</t>
  </si>
  <si>
    <t xml:space="preserve">SKS</t>
  </si>
  <si>
    <t xml:space="preserve">Dosen (kode)</t>
  </si>
  <si>
    <t xml:space="preserve">Hari</t>
  </si>
  <si>
    <t xml:space="preserve">Mulai</t>
  </si>
  <si>
    <t xml:space="preserve">Selesai</t>
  </si>
  <si>
    <t xml:space="preserve">Ruang</t>
  </si>
  <si>
    <t xml:space="preserve">Kapasitas</t>
  </si>
  <si>
    <t xml:space="preserve">Bahasa</t>
  </si>
  <si>
    <t xml:space="preserve">Jadwal Ramadhan</t>
  </si>
  <si>
    <t xml:space="preserve">Animasi Komputer dan Pemodelan 3D</t>
  </si>
  <si>
    <t xml:space="preserve">T</t>
  </si>
  <si>
    <t xml:space="preserve">IF</t>
  </si>
  <si>
    <t xml:space="preserve">Pilihan</t>
  </si>
  <si>
    <t xml:space="preserve">SA</t>
  </si>
  <si>
    <t xml:space="preserve">Senin</t>
  </si>
  <si>
    <t xml:space="preserve">07.00</t>
  </si>
  <si>
    <t xml:space="preserve">08.50</t>
  </si>
  <si>
    <t xml:space="preserve">IF-108</t>
  </si>
  <si>
    <t xml:space="preserve">Indonesia</t>
  </si>
  <si>
    <t xml:space="preserve">Senin 07.00-08.50</t>
  </si>
  <si>
    <t xml:space="preserve">Arsitektur Microservice dan Aplikasinya</t>
  </si>
  <si>
    <t xml:space="preserve">M</t>
  </si>
  <si>
    <t xml:space="preserve">RPL</t>
  </si>
  <si>
    <t xml:space="preserve">BN, MA</t>
  </si>
  <si>
    <t xml:space="preserve">Selasa</t>
  </si>
  <si>
    <t xml:space="preserve">IF-104</t>
  </si>
  <si>
    <t xml:space="preserve">Selasa 07.00-08.50</t>
  </si>
  <si>
    <t xml:space="preserve">Audit Sistem</t>
  </si>
  <si>
    <t xml:space="preserve">RS</t>
  </si>
  <si>
    <t xml:space="preserve">Rabu</t>
  </si>
  <si>
    <t xml:space="preserve">13.30</t>
  </si>
  <si>
    <t xml:space="preserve">15.20</t>
  </si>
  <si>
    <t xml:space="preserve">Lab. NETICS (Lab. RMK)</t>
  </si>
  <si>
    <t xml:space="preserve">Rabu 13.30-15.20</t>
  </si>
  <si>
    <t xml:space="preserve">Deep Learning</t>
  </si>
  <si>
    <t xml:space="preserve">NS, DA, AI</t>
  </si>
  <si>
    <t xml:space="preserve">10.00</t>
  </si>
  <si>
    <t xml:space="preserve">11.50</t>
  </si>
  <si>
    <t xml:space="preserve">Senin 10.00-11.50</t>
  </si>
  <si>
    <t xml:space="preserve">U</t>
  </si>
  <si>
    <t xml:space="preserve">MK</t>
  </si>
  <si>
    <t xml:space="preserve">RBTC (IF-114)</t>
  </si>
  <si>
    <t xml:space="preserve">English</t>
  </si>
  <si>
    <t xml:space="preserve">Rabu 10.00-11.50</t>
  </si>
  <si>
    <t xml:space="preserve">Desain Pengalaman Pengguna</t>
  </si>
  <si>
    <t xml:space="preserve">HF</t>
  </si>
  <si>
    <t xml:space="preserve">Jum'at</t>
  </si>
  <si>
    <t xml:space="preserve">IF-107a&amp;b</t>
  </si>
  <si>
    <t xml:space="preserve">Jum'at 13.30-15.20</t>
  </si>
  <si>
    <t xml:space="preserve">Game Edukasi dan Simulasi</t>
  </si>
  <si>
    <t xml:space="preserve">IM</t>
  </si>
  <si>
    <t xml:space="preserve">Game Engine</t>
  </si>
  <si>
    <t xml:space="preserve">DH</t>
  </si>
  <si>
    <t xml:space="preserve">EF234602</t>
  </si>
  <si>
    <t xml:space="preserve">Interaksi Manusia dan Komputer</t>
  </si>
  <si>
    <t xml:space="preserve">A</t>
  </si>
  <si>
    <t xml:space="preserve">Wajib (kurikulum sem 6)</t>
  </si>
  <si>
    <t xml:space="preserve">Selasa 13.30-15.20</t>
  </si>
  <si>
    <t xml:space="preserve">B</t>
  </si>
  <si>
    <t xml:space="preserve">AY</t>
  </si>
  <si>
    <t xml:space="preserve">IF-113 / Ruang PIKTI</t>
  </si>
  <si>
    <t xml:space="preserve">Rabu 07.00-08.50</t>
  </si>
  <si>
    <t xml:space="preserve">C</t>
  </si>
  <si>
    <t xml:space="preserve">15.30</t>
  </si>
  <si>
    <t xml:space="preserve">17.20</t>
  </si>
  <si>
    <t xml:space="preserve">IF-112</t>
  </si>
  <si>
    <t xml:space="preserve">Senin 15.30-17.20</t>
  </si>
  <si>
    <t xml:space="preserve">D</t>
  </si>
  <si>
    <t xml:space="preserve">IF-101</t>
  </si>
  <si>
    <t xml:space="preserve">E</t>
  </si>
  <si>
    <t xml:space="preserve">WN</t>
  </si>
  <si>
    <t xml:space="preserve">IF-102</t>
  </si>
  <si>
    <t xml:space="preserve">Selasa 10.00-11.50</t>
  </si>
  <si>
    <t xml:space="preserve">F</t>
  </si>
  <si>
    <t xml:space="preserve">IUP I</t>
  </si>
  <si>
    <t xml:space="preserve">IUP</t>
  </si>
  <si>
    <t xml:space="preserve">HF, AY</t>
  </si>
  <si>
    <t xml:space="preserve">Keamanan Aplikasi</t>
  </si>
  <si>
    <t xml:space="preserve">BS</t>
  </si>
  <si>
    <t xml:space="preserve">Keamanan Jaringan</t>
  </si>
  <si>
    <t xml:space="preserve">Komputasi Bergerak</t>
  </si>
  <si>
    <t xml:space="preserve">RA</t>
  </si>
  <si>
    <t xml:space="preserve">Senin 13.30-15.20</t>
  </si>
  <si>
    <t xml:space="preserve">Konstruksi Perangkat Lunak</t>
  </si>
  <si>
    <t xml:space="preserve">RJ</t>
  </si>
  <si>
    <t xml:space="preserve">Kualitas Perangkat Lunak</t>
  </si>
  <si>
    <t xml:space="preserve">UY</t>
  </si>
  <si>
    <t xml:space="preserve">EF234601</t>
  </si>
  <si>
    <t xml:space="preserve">Pemrograman Perangkat Bergerak</t>
  </si>
  <si>
    <t xml:space="preserve">AB</t>
  </si>
  <si>
    <t xml:space="preserve">IF-105a&amp;b</t>
  </si>
  <si>
    <t xml:space="preserve">FB</t>
  </si>
  <si>
    <t xml:space="preserve">LP-2 (IF-309)</t>
  </si>
  <si>
    <t xml:space="preserve">LP-1 (IF 305)</t>
  </si>
  <si>
    <t xml:space="preserve">Selasa 15.30-17.20</t>
  </si>
  <si>
    <t xml:space="preserve">Pengantar Logika dan Pemrograman</t>
  </si>
  <si>
    <t xml:space="preserve">Z</t>
  </si>
  <si>
    <t xml:space="preserve">RL</t>
  </si>
  <si>
    <t xml:space="preserve">IF-103</t>
  </si>
  <si>
    <t xml:space="preserve">Simulasi Berbasis Agen</t>
  </si>
  <si>
    <t xml:space="preserve">JL</t>
  </si>
  <si>
    <t xml:space="preserve">Simulasi Sistem Dinamis</t>
  </si>
  <si>
    <t xml:space="preserve">Kamis</t>
  </si>
  <si>
    <t xml:space="preserve">Kamis 07.00-08.50</t>
  </si>
  <si>
    <t xml:space="preserve">Teknik Peramalan</t>
  </si>
  <si>
    <t xml:space="preserve">AS</t>
  </si>
  <si>
    <t xml:space="preserve">Text Mining</t>
  </si>
  <si>
    <t xml:space="preserve">NF, DA</t>
  </si>
  <si>
    <t xml:space="preserve">UG234901</t>
  </si>
  <si>
    <t xml:space="preserve">Agama Islam</t>
  </si>
  <si>
    <t xml:space="preserve">-</t>
  </si>
  <si>
    <t xml:space="preserve">SKPB (MK Umum)</t>
  </si>
  <si>
    <t xml:space="preserve">09.00</t>
  </si>
  <si>
    <t xml:space="preserve">10.50</t>
  </si>
  <si>
    <t xml:space="preserve">(SKPB – ruang ditentukan ITS)</t>
  </si>
  <si>
    <t xml:space="preserve">Rabu 09.00-10.50</t>
  </si>
  <si>
    <t xml:space="preserve">11.00</t>
  </si>
  <si>
    <t xml:space="preserve">12.50</t>
  </si>
  <si>
    <t xml:space="preserve">Kamis 10.00-11.50</t>
  </si>
  <si>
    <t xml:space="preserve">IF, RKA</t>
  </si>
  <si>
    <t xml:space="preserve">Kamis 13.30-15.20</t>
  </si>
  <si>
    <t xml:space="preserve">UG234914</t>
  </si>
  <si>
    <t xml:space="preserve">Bahasa Inggris</t>
  </si>
  <si>
    <t xml:space="preserve">Rabu 12.00-14.20</t>
  </si>
  <si>
    <t xml:space="preserve">Jum'at 07.00-08.50</t>
  </si>
  <si>
    <t xml:space="preserve">UG234913</t>
  </si>
  <si>
    <t xml:space="preserve">Kewarganegaraan</t>
  </si>
  <si>
    <t xml:space="preserve">Kamis 09.00-10.50</t>
  </si>
  <si>
    <t xml:space="preserve">Kamis 12.00-14.20</t>
  </si>
  <si>
    <t xml:space="preserve">UG234915</t>
  </si>
  <si>
    <t xml:space="preserve">Kewirausahaan Berbasis Teknologi</t>
  </si>
  <si>
    <t xml:space="preserve">Selasa 12.00-14.20</t>
  </si>
  <si>
    <t xml:space="preserve">RPL, RKA</t>
  </si>
  <si>
    <t xml:space="preserve">EF234701</t>
  </si>
  <si>
    <t xml:space="preserve">Etika Profesi</t>
  </si>
  <si>
    <t xml:space="preserve">IF, RKA, IUP</t>
  </si>
  <si>
    <t xml:space="preserve">Wajib (kurikulum sem 7)</t>
  </si>
  <si>
    <t xml:space="preserve">AL, RN, NF</t>
  </si>
  <si>
    <t xml:space="preserve">Aula Prof. Handayani (IF-219)</t>
  </si>
  <si>
    <t xml:space="preserve">Ringkasan</t>
  </si>
  <si>
    <t xml:space="preserve">Kelas Sem 6</t>
  </si>
  <si>
    <t xml:space="preserve">Kelas Sem 8</t>
  </si>
  <si>
    <t xml:space="preserve">Kelas Pilihan</t>
  </si>
  <si>
    <t xml:space="preserve">Kelas berbahasa Inggris</t>
  </si>
  <si>
    <t xml:space="preserve">Catatan: Sem 8 hanya berisi Etika Profesi (kelas gabungan IF, RKA &amp; IUP); di kurikulum SIAKAD Etika Profesi tercatat semester 7. Tugas Akhir/Kerja Praktik tidak terjadwal (tanpa kuota). SKS ditulis sesuai jadwal; untuk MK SKPB, SIAKAD mencatat 2 SKS.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</si>
</sst>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2"/>
      <color theme="1"/>
      <name val="Calibri"/>
      <family val="2"/>
      <charset val="136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2 2 2" xfId="22"/>
    <cellStyle name="Percent 2" xfId="23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1"/>
    <col collapsed="false" customWidth="true" hidden="false" outlineLevel="0" max="4" min="4" style="0" width="38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5"/>
    <col collapsed="false" customWidth="true" hidden="false" outlineLevel="0" max="9" min="9" style="0" width="14"/>
    <col collapsed="false" customWidth="true" hidden="false" outlineLevel="0" max="10" min="10" style="0" width="9"/>
    <col collapsed="false" customWidth="true" hidden="false" outlineLevel="0" max="11" min="11" style="0" width="7"/>
    <col collapsed="false" customWidth="true" hidden="false" outlineLevel="0" max="12" min="12" style="0" width="8"/>
    <col collapsed="false" customWidth="true" hidden="false" outlineLevel="0" max="13" min="13" style="0" width="28"/>
    <col collapsed="false" customWidth="true" hidden="false" outlineLevel="0" max="15" min="14" style="0" width="10"/>
    <col collapsed="false" customWidth="true" hidden="false" outlineLevel="0" max="16" min="16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customFormat="false" ht="15" hidden="false" customHeight="false" outlineLevel="0" collapsed="false">
      <c r="A5" s="4" t="n">
        <v>1</v>
      </c>
      <c r="B5" s="4" t="n">
        <v>6</v>
      </c>
      <c r="C5" s="5"/>
      <c r="D5" s="5" t="s">
        <v>18</v>
      </c>
      <c r="E5" s="4" t="s">
        <v>19</v>
      </c>
      <c r="F5" s="5" t="s">
        <v>20</v>
      </c>
      <c r="G5" s="5" t="s">
        <v>21</v>
      </c>
      <c r="H5" s="4" t="n">
        <v>3</v>
      </c>
      <c r="I5" s="5" t="s">
        <v>22</v>
      </c>
      <c r="J5" s="4" t="s">
        <v>23</v>
      </c>
      <c r="K5" s="4" t="s">
        <v>24</v>
      </c>
      <c r="L5" s="4" t="s">
        <v>25</v>
      </c>
      <c r="M5" s="5" t="s">
        <v>26</v>
      </c>
      <c r="N5" s="4" t="n">
        <v>40</v>
      </c>
      <c r="O5" s="5" t="s">
        <v>27</v>
      </c>
      <c r="P5" s="6" t="s">
        <v>28</v>
      </c>
    </row>
    <row r="6" customFormat="false" ht="15" hidden="false" customHeight="false" outlineLevel="0" collapsed="false">
      <c r="A6" s="4" t="n">
        <v>2</v>
      </c>
      <c r="B6" s="4" t="n">
        <v>6</v>
      </c>
      <c r="C6" s="5"/>
      <c r="D6" s="5" t="s">
        <v>29</v>
      </c>
      <c r="E6" s="4" t="s">
        <v>30</v>
      </c>
      <c r="F6" s="5" t="s">
        <v>31</v>
      </c>
      <c r="G6" s="5" t="s">
        <v>21</v>
      </c>
      <c r="H6" s="4" t="n">
        <v>3</v>
      </c>
      <c r="I6" s="5" t="s">
        <v>32</v>
      </c>
      <c r="J6" s="4" t="s">
        <v>33</v>
      </c>
      <c r="K6" s="4" t="s">
        <v>24</v>
      </c>
      <c r="L6" s="4" t="s">
        <v>25</v>
      </c>
      <c r="M6" s="5" t="s">
        <v>34</v>
      </c>
      <c r="N6" s="4" t="n">
        <v>50</v>
      </c>
      <c r="O6" s="5" t="s">
        <v>27</v>
      </c>
      <c r="P6" s="6" t="s">
        <v>35</v>
      </c>
    </row>
    <row r="7" customFormat="false" ht="15" hidden="false" customHeight="false" outlineLevel="0" collapsed="false">
      <c r="A7" s="4" t="n">
        <v>3</v>
      </c>
      <c r="B7" s="4" t="n">
        <v>6</v>
      </c>
      <c r="C7" s="5"/>
      <c r="D7" s="5" t="s">
        <v>36</v>
      </c>
      <c r="E7" s="4" t="s">
        <v>19</v>
      </c>
      <c r="F7" s="5" t="s">
        <v>20</v>
      </c>
      <c r="G7" s="5" t="s">
        <v>21</v>
      </c>
      <c r="H7" s="4" t="n">
        <v>3</v>
      </c>
      <c r="I7" s="5" t="s">
        <v>37</v>
      </c>
      <c r="J7" s="4" t="s">
        <v>38</v>
      </c>
      <c r="K7" s="4" t="s">
        <v>39</v>
      </c>
      <c r="L7" s="4" t="s">
        <v>40</v>
      </c>
      <c r="M7" s="5" t="s">
        <v>41</v>
      </c>
      <c r="N7" s="4" t="n">
        <v>30</v>
      </c>
      <c r="O7" s="5" t="s">
        <v>27</v>
      </c>
      <c r="P7" s="6" t="s">
        <v>42</v>
      </c>
    </row>
    <row r="8" customFormat="false" ht="15" hidden="false" customHeight="false" outlineLevel="0" collapsed="false">
      <c r="A8" s="4" t="n">
        <v>4</v>
      </c>
      <c r="B8" s="4" t="n">
        <v>6</v>
      </c>
      <c r="C8" s="5"/>
      <c r="D8" s="5" t="s">
        <v>43</v>
      </c>
      <c r="E8" s="4" t="s">
        <v>19</v>
      </c>
      <c r="F8" s="5" t="s">
        <v>20</v>
      </c>
      <c r="G8" s="5" t="s">
        <v>21</v>
      </c>
      <c r="H8" s="4" t="n">
        <v>3</v>
      </c>
      <c r="I8" s="5" t="s">
        <v>44</v>
      </c>
      <c r="J8" s="4" t="s">
        <v>23</v>
      </c>
      <c r="K8" s="4" t="s">
        <v>45</v>
      </c>
      <c r="L8" s="4" t="s">
        <v>46</v>
      </c>
      <c r="M8" s="5" t="s">
        <v>34</v>
      </c>
      <c r="N8" s="4" t="n">
        <v>50</v>
      </c>
      <c r="O8" s="5" t="s">
        <v>27</v>
      </c>
      <c r="P8" s="6" t="s">
        <v>47</v>
      </c>
    </row>
    <row r="9" customFormat="false" ht="15" hidden="false" customHeight="false" outlineLevel="0" collapsed="false">
      <c r="A9" s="4" t="n">
        <v>5</v>
      </c>
      <c r="B9" s="4" t="n">
        <v>6</v>
      </c>
      <c r="C9" s="5"/>
      <c r="D9" s="5" t="s">
        <v>43</v>
      </c>
      <c r="E9" s="4" t="s">
        <v>48</v>
      </c>
      <c r="F9" s="5" t="s">
        <v>20</v>
      </c>
      <c r="G9" s="5" t="s">
        <v>21</v>
      </c>
      <c r="H9" s="4" t="n">
        <v>3</v>
      </c>
      <c r="I9" s="5" t="s">
        <v>49</v>
      </c>
      <c r="J9" s="4" t="s">
        <v>38</v>
      </c>
      <c r="K9" s="4" t="s">
        <v>45</v>
      </c>
      <c r="L9" s="4" t="s">
        <v>46</v>
      </c>
      <c r="M9" s="5" t="s">
        <v>50</v>
      </c>
      <c r="N9" s="4" t="n">
        <v>40</v>
      </c>
      <c r="O9" s="5" t="s">
        <v>51</v>
      </c>
      <c r="P9" s="6" t="s">
        <v>52</v>
      </c>
    </row>
    <row r="10" customFormat="false" ht="15" hidden="false" customHeight="false" outlineLevel="0" collapsed="false">
      <c r="A10" s="4" t="n">
        <v>6</v>
      </c>
      <c r="B10" s="4" t="n">
        <v>6</v>
      </c>
      <c r="C10" s="5"/>
      <c r="D10" s="5" t="s">
        <v>53</v>
      </c>
      <c r="E10" s="4" t="s">
        <v>19</v>
      </c>
      <c r="F10" s="5" t="s">
        <v>20</v>
      </c>
      <c r="G10" s="5" t="s">
        <v>21</v>
      </c>
      <c r="H10" s="4" t="n">
        <v>3</v>
      </c>
      <c r="I10" s="5" t="s">
        <v>54</v>
      </c>
      <c r="J10" s="4" t="s">
        <v>55</v>
      </c>
      <c r="K10" s="4" t="s">
        <v>39</v>
      </c>
      <c r="L10" s="4" t="s">
        <v>40</v>
      </c>
      <c r="M10" s="5" t="s">
        <v>56</v>
      </c>
      <c r="N10" s="4" t="n">
        <v>80</v>
      </c>
      <c r="O10" s="5" t="s">
        <v>51</v>
      </c>
      <c r="P10" s="6" t="s">
        <v>57</v>
      </c>
    </row>
    <row r="11" customFormat="false" ht="15" hidden="false" customHeight="false" outlineLevel="0" collapsed="false">
      <c r="A11" s="4" t="n">
        <v>7</v>
      </c>
      <c r="B11" s="4" t="n">
        <v>6</v>
      </c>
      <c r="C11" s="5"/>
      <c r="D11" s="5" t="s">
        <v>58</v>
      </c>
      <c r="E11" s="4" t="s">
        <v>19</v>
      </c>
      <c r="F11" s="5" t="s">
        <v>20</v>
      </c>
      <c r="G11" s="5" t="s">
        <v>21</v>
      </c>
      <c r="H11" s="4" t="n">
        <v>3</v>
      </c>
      <c r="I11" s="5" t="s">
        <v>59</v>
      </c>
      <c r="J11" s="4" t="s">
        <v>38</v>
      </c>
      <c r="K11" s="4" t="s">
        <v>39</v>
      </c>
      <c r="L11" s="4" t="s">
        <v>40</v>
      </c>
      <c r="M11" s="5" t="s">
        <v>26</v>
      </c>
      <c r="N11" s="4" t="n">
        <v>40</v>
      </c>
      <c r="O11" s="5" t="s">
        <v>27</v>
      </c>
      <c r="P11" s="6" t="s">
        <v>42</v>
      </c>
    </row>
    <row r="12" customFormat="false" ht="15" hidden="false" customHeight="false" outlineLevel="0" collapsed="false">
      <c r="A12" s="4" t="n">
        <v>8</v>
      </c>
      <c r="B12" s="4" t="n">
        <v>6</v>
      </c>
      <c r="C12" s="5"/>
      <c r="D12" s="5" t="s">
        <v>60</v>
      </c>
      <c r="E12" s="4" t="s">
        <v>19</v>
      </c>
      <c r="F12" s="5" t="s">
        <v>20</v>
      </c>
      <c r="G12" s="5" t="s">
        <v>21</v>
      </c>
      <c r="H12" s="4" t="n">
        <v>3</v>
      </c>
      <c r="I12" s="5" t="s">
        <v>61</v>
      </c>
      <c r="J12" s="4" t="s">
        <v>55</v>
      </c>
      <c r="K12" s="4" t="s">
        <v>39</v>
      </c>
      <c r="L12" s="4" t="s">
        <v>40</v>
      </c>
      <c r="M12" s="5" t="s">
        <v>34</v>
      </c>
      <c r="N12" s="4" t="n">
        <v>50</v>
      </c>
      <c r="O12" s="5" t="s">
        <v>27</v>
      </c>
      <c r="P12" s="6" t="s">
        <v>57</v>
      </c>
    </row>
    <row r="13" customFormat="false" ht="15" hidden="false" customHeight="false" outlineLevel="0" collapsed="false">
      <c r="A13" s="4" t="n">
        <v>9</v>
      </c>
      <c r="B13" s="4" t="n">
        <v>6</v>
      </c>
      <c r="C13" s="5" t="s">
        <v>62</v>
      </c>
      <c r="D13" s="5" t="s">
        <v>63</v>
      </c>
      <c r="E13" s="4" t="s">
        <v>64</v>
      </c>
      <c r="F13" s="5" t="s">
        <v>20</v>
      </c>
      <c r="G13" s="5" t="s">
        <v>65</v>
      </c>
      <c r="H13" s="4" t="n">
        <v>3</v>
      </c>
      <c r="I13" s="5" t="s">
        <v>61</v>
      </c>
      <c r="J13" s="4" t="s">
        <v>33</v>
      </c>
      <c r="K13" s="4" t="s">
        <v>39</v>
      </c>
      <c r="L13" s="4" t="s">
        <v>40</v>
      </c>
      <c r="M13" s="5" t="s">
        <v>34</v>
      </c>
      <c r="N13" s="4" t="n">
        <v>50</v>
      </c>
      <c r="O13" s="5" t="s">
        <v>27</v>
      </c>
      <c r="P13" s="6" t="s">
        <v>66</v>
      </c>
    </row>
    <row r="14" customFormat="false" ht="15" hidden="false" customHeight="false" outlineLevel="0" collapsed="false">
      <c r="A14" s="4" t="n">
        <v>10</v>
      </c>
      <c r="B14" s="4" t="n">
        <v>6</v>
      </c>
      <c r="C14" s="5" t="s">
        <v>62</v>
      </c>
      <c r="D14" s="5" t="s">
        <v>63</v>
      </c>
      <c r="E14" s="4" t="s">
        <v>67</v>
      </c>
      <c r="F14" s="5" t="s">
        <v>20</v>
      </c>
      <c r="G14" s="5" t="s">
        <v>65</v>
      </c>
      <c r="H14" s="4" t="n">
        <v>3</v>
      </c>
      <c r="I14" s="5" t="s">
        <v>68</v>
      </c>
      <c r="J14" s="4" t="s">
        <v>38</v>
      </c>
      <c r="K14" s="4" t="s">
        <v>24</v>
      </c>
      <c r="L14" s="4" t="s">
        <v>25</v>
      </c>
      <c r="M14" s="5" t="s">
        <v>69</v>
      </c>
      <c r="N14" s="4" t="n">
        <v>50</v>
      </c>
      <c r="O14" s="5" t="s">
        <v>27</v>
      </c>
      <c r="P14" s="6" t="s">
        <v>70</v>
      </c>
    </row>
    <row r="15" customFormat="false" ht="15" hidden="false" customHeight="false" outlineLevel="0" collapsed="false">
      <c r="A15" s="4" t="n">
        <v>11</v>
      </c>
      <c r="B15" s="4" t="n">
        <v>6</v>
      </c>
      <c r="C15" s="5" t="s">
        <v>62</v>
      </c>
      <c r="D15" s="5" t="s">
        <v>63</v>
      </c>
      <c r="E15" s="4" t="s">
        <v>71</v>
      </c>
      <c r="F15" s="5" t="s">
        <v>20</v>
      </c>
      <c r="G15" s="5" t="s">
        <v>65</v>
      </c>
      <c r="H15" s="4" t="n">
        <v>3</v>
      </c>
      <c r="I15" s="5" t="s">
        <v>22</v>
      </c>
      <c r="J15" s="4" t="s">
        <v>23</v>
      </c>
      <c r="K15" s="4" t="s">
        <v>72</v>
      </c>
      <c r="L15" s="4" t="s">
        <v>73</v>
      </c>
      <c r="M15" s="5" t="s">
        <v>74</v>
      </c>
      <c r="N15" s="4" t="n">
        <v>50</v>
      </c>
      <c r="O15" s="5" t="s">
        <v>27</v>
      </c>
      <c r="P15" s="6" t="s">
        <v>75</v>
      </c>
    </row>
    <row r="16" customFormat="false" ht="15" hidden="false" customHeight="false" outlineLevel="0" collapsed="false">
      <c r="A16" s="4" t="n">
        <v>12</v>
      </c>
      <c r="B16" s="4" t="n">
        <v>6</v>
      </c>
      <c r="C16" s="5" t="s">
        <v>62</v>
      </c>
      <c r="D16" s="5" t="s">
        <v>63</v>
      </c>
      <c r="E16" s="4" t="s">
        <v>76</v>
      </c>
      <c r="F16" s="5" t="s">
        <v>20</v>
      </c>
      <c r="G16" s="5" t="s">
        <v>65</v>
      </c>
      <c r="H16" s="4" t="n">
        <v>3</v>
      </c>
      <c r="I16" s="5" t="s">
        <v>22</v>
      </c>
      <c r="J16" s="4" t="s">
        <v>33</v>
      </c>
      <c r="K16" s="4" t="s">
        <v>39</v>
      </c>
      <c r="L16" s="4" t="s">
        <v>40</v>
      </c>
      <c r="M16" s="5" t="s">
        <v>77</v>
      </c>
      <c r="N16" s="4" t="n">
        <v>50</v>
      </c>
      <c r="O16" s="5" t="s">
        <v>27</v>
      </c>
      <c r="P16" s="6" t="s">
        <v>66</v>
      </c>
    </row>
    <row r="17" customFormat="false" ht="15" hidden="false" customHeight="false" outlineLevel="0" collapsed="false">
      <c r="A17" s="4" t="n">
        <v>13</v>
      </c>
      <c r="B17" s="4" t="n">
        <v>6</v>
      </c>
      <c r="C17" s="5" t="s">
        <v>62</v>
      </c>
      <c r="D17" s="5" t="s">
        <v>63</v>
      </c>
      <c r="E17" s="4" t="s">
        <v>78</v>
      </c>
      <c r="F17" s="5" t="s">
        <v>20</v>
      </c>
      <c r="G17" s="5" t="s">
        <v>65</v>
      </c>
      <c r="H17" s="4" t="n">
        <v>3</v>
      </c>
      <c r="I17" s="5" t="s">
        <v>79</v>
      </c>
      <c r="J17" s="4" t="s">
        <v>33</v>
      </c>
      <c r="K17" s="4" t="s">
        <v>45</v>
      </c>
      <c r="L17" s="4" t="s">
        <v>46</v>
      </c>
      <c r="M17" s="5" t="s">
        <v>80</v>
      </c>
      <c r="N17" s="4" t="n">
        <v>50</v>
      </c>
      <c r="O17" s="5" t="s">
        <v>27</v>
      </c>
      <c r="P17" s="6" t="s">
        <v>81</v>
      </c>
    </row>
    <row r="18" customFormat="false" ht="15" hidden="false" customHeight="false" outlineLevel="0" collapsed="false">
      <c r="A18" s="4" t="n">
        <v>14</v>
      </c>
      <c r="B18" s="4" t="n">
        <v>6</v>
      </c>
      <c r="C18" s="5" t="s">
        <v>62</v>
      </c>
      <c r="D18" s="5" t="s">
        <v>63</v>
      </c>
      <c r="E18" s="4" t="s">
        <v>82</v>
      </c>
      <c r="F18" s="5" t="s">
        <v>20</v>
      </c>
      <c r="G18" s="5" t="s">
        <v>65</v>
      </c>
      <c r="H18" s="4" t="n">
        <v>3</v>
      </c>
      <c r="I18" s="5" t="s">
        <v>79</v>
      </c>
      <c r="J18" s="4" t="s">
        <v>38</v>
      </c>
      <c r="K18" s="4" t="s">
        <v>39</v>
      </c>
      <c r="L18" s="4" t="s">
        <v>40</v>
      </c>
      <c r="M18" s="5" t="s">
        <v>56</v>
      </c>
      <c r="N18" s="4" t="n">
        <v>80</v>
      </c>
      <c r="O18" s="5" t="s">
        <v>27</v>
      </c>
      <c r="P18" s="6" t="s">
        <v>42</v>
      </c>
    </row>
    <row r="19" customFormat="false" ht="15" hidden="false" customHeight="false" outlineLevel="0" collapsed="false">
      <c r="A19" s="4" t="n">
        <v>15</v>
      </c>
      <c r="B19" s="4" t="n">
        <v>6</v>
      </c>
      <c r="C19" s="5" t="s">
        <v>62</v>
      </c>
      <c r="D19" s="5" t="s">
        <v>63</v>
      </c>
      <c r="E19" s="4" t="s">
        <v>83</v>
      </c>
      <c r="F19" s="5" t="s">
        <v>84</v>
      </c>
      <c r="G19" s="5" t="s">
        <v>65</v>
      </c>
      <c r="H19" s="4" t="n">
        <v>3</v>
      </c>
      <c r="I19" s="5" t="s">
        <v>85</v>
      </c>
      <c r="J19" s="4" t="s">
        <v>33</v>
      </c>
      <c r="K19" s="4" t="s">
        <v>24</v>
      </c>
      <c r="L19" s="4" t="s">
        <v>25</v>
      </c>
      <c r="M19" s="5" t="s">
        <v>50</v>
      </c>
      <c r="N19" s="4" t="n">
        <v>40</v>
      </c>
      <c r="O19" s="5" t="s">
        <v>51</v>
      </c>
      <c r="P19" s="6" t="s">
        <v>35</v>
      </c>
    </row>
    <row r="20" customFormat="false" ht="15" hidden="false" customHeight="false" outlineLevel="0" collapsed="false">
      <c r="A20" s="4" t="n">
        <v>16</v>
      </c>
      <c r="B20" s="4" t="n">
        <v>6</v>
      </c>
      <c r="C20" s="5"/>
      <c r="D20" s="5" t="s">
        <v>86</v>
      </c>
      <c r="E20" s="4" t="s">
        <v>19</v>
      </c>
      <c r="F20" s="5" t="s">
        <v>20</v>
      </c>
      <c r="G20" s="5" t="s">
        <v>21</v>
      </c>
      <c r="H20" s="4" t="n">
        <v>3</v>
      </c>
      <c r="I20" s="5" t="s">
        <v>87</v>
      </c>
      <c r="J20" s="4" t="s">
        <v>33</v>
      </c>
      <c r="K20" s="4" t="s">
        <v>39</v>
      </c>
      <c r="L20" s="4" t="s">
        <v>40</v>
      </c>
      <c r="M20" s="5" t="s">
        <v>26</v>
      </c>
      <c r="N20" s="4" t="n">
        <v>40</v>
      </c>
      <c r="O20" s="5" t="s">
        <v>51</v>
      </c>
      <c r="P20" s="6" t="s">
        <v>66</v>
      </c>
    </row>
    <row r="21" customFormat="false" ht="15" hidden="false" customHeight="false" outlineLevel="0" collapsed="false">
      <c r="A21" s="4" t="n">
        <v>17</v>
      </c>
      <c r="B21" s="4" t="n">
        <v>6</v>
      </c>
      <c r="C21" s="5"/>
      <c r="D21" s="5" t="s">
        <v>88</v>
      </c>
      <c r="E21" s="4" t="s">
        <v>19</v>
      </c>
      <c r="F21" s="5" t="s">
        <v>20</v>
      </c>
      <c r="G21" s="5" t="s">
        <v>21</v>
      </c>
      <c r="H21" s="4" t="n">
        <v>3</v>
      </c>
      <c r="I21" s="5" t="s">
        <v>87</v>
      </c>
      <c r="J21" s="4" t="s">
        <v>33</v>
      </c>
      <c r="K21" s="4" t="s">
        <v>45</v>
      </c>
      <c r="L21" s="4" t="s">
        <v>46</v>
      </c>
      <c r="M21" s="5" t="s">
        <v>77</v>
      </c>
      <c r="N21" s="4" t="n">
        <v>50</v>
      </c>
      <c r="O21" s="5" t="s">
        <v>51</v>
      </c>
      <c r="P21" s="6" t="s">
        <v>81</v>
      </c>
    </row>
    <row r="22" customFormat="false" ht="15" hidden="false" customHeight="false" outlineLevel="0" collapsed="false">
      <c r="A22" s="4" t="n">
        <v>18</v>
      </c>
      <c r="B22" s="4" t="n">
        <v>6</v>
      </c>
      <c r="C22" s="5"/>
      <c r="D22" s="5" t="s">
        <v>89</v>
      </c>
      <c r="E22" s="4" t="s">
        <v>19</v>
      </c>
      <c r="F22" s="5" t="s">
        <v>20</v>
      </c>
      <c r="G22" s="5" t="s">
        <v>21</v>
      </c>
      <c r="H22" s="4" t="n">
        <v>3</v>
      </c>
      <c r="I22" s="5" t="s">
        <v>90</v>
      </c>
      <c r="J22" s="4" t="s">
        <v>23</v>
      </c>
      <c r="K22" s="4" t="s">
        <v>39</v>
      </c>
      <c r="L22" s="4" t="s">
        <v>40</v>
      </c>
      <c r="M22" s="5" t="s">
        <v>26</v>
      </c>
      <c r="N22" s="4" t="n">
        <v>40</v>
      </c>
      <c r="O22" s="5" t="s">
        <v>27</v>
      </c>
      <c r="P22" s="6" t="s">
        <v>91</v>
      </c>
    </row>
    <row r="23" customFormat="false" ht="15" hidden="false" customHeight="false" outlineLevel="0" collapsed="false">
      <c r="A23" s="4" t="n">
        <v>19</v>
      </c>
      <c r="B23" s="4" t="n">
        <v>6</v>
      </c>
      <c r="C23" s="5"/>
      <c r="D23" s="5" t="s">
        <v>92</v>
      </c>
      <c r="E23" s="4" t="s">
        <v>19</v>
      </c>
      <c r="F23" s="5" t="s">
        <v>20</v>
      </c>
      <c r="G23" s="5" t="s">
        <v>21</v>
      </c>
      <c r="H23" s="4" t="n">
        <v>3</v>
      </c>
      <c r="I23" s="5" t="s">
        <v>93</v>
      </c>
      <c r="J23" s="4" t="s">
        <v>38</v>
      </c>
      <c r="K23" s="4" t="s">
        <v>45</v>
      </c>
      <c r="L23" s="4" t="s">
        <v>46</v>
      </c>
      <c r="M23" s="5" t="s">
        <v>69</v>
      </c>
      <c r="N23" s="4" t="n">
        <v>50</v>
      </c>
      <c r="O23" s="5" t="s">
        <v>51</v>
      </c>
      <c r="P23" s="6" t="s">
        <v>52</v>
      </c>
    </row>
    <row r="24" customFormat="false" ht="15" hidden="false" customHeight="false" outlineLevel="0" collapsed="false">
      <c r="A24" s="4" t="n">
        <v>20</v>
      </c>
      <c r="B24" s="4" t="n">
        <v>6</v>
      </c>
      <c r="C24" s="5"/>
      <c r="D24" s="5" t="s">
        <v>94</v>
      </c>
      <c r="E24" s="4" t="s">
        <v>19</v>
      </c>
      <c r="F24" s="5" t="s">
        <v>20</v>
      </c>
      <c r="G24" s="5" t="s">
        <v>21</v>
      </c>
      <c r="H24" s="4" t="n">
        <v>3</v>
      </c>
      <c r="I24" s="5" t="s">
        <v>95</v>
      </c>
      <c r="J24" s="4" t="s">
        <v>33</v>
      </c>
      <c r="K24" s="4" t="s">
        <v>39</v>
      </c>
      <c r="L24" s="4" t="s">
        <v>40</v>
      </c>
      <c r="M24" s="5" t="s">
        <v>80</v>
      </c>
      <c r="N24" s="4" t="n">
        <v>50</v>
      </c>
      <c r="O24" s="5" t="s">
        <v>27</v>
      </c>
      <c r="P24" s="6" t="s">
        <v>66</v>
      </c>
    </row>
    <row r="25" customFormat="false" ht="15" hidden="false" customHeight="false" outlineLevel="0" collapsed="false">
      <c r="A25" s="4" t="n">
        <v>21</v>
      </c>
      <c r="B25" s="4" t="n">
        <v>6</v>
      </c>
      <c r="C25" s="5" t="s">
        <v>96</v>
      </c>
      <c r="D25" s="5" t="s">
        <v>97</v>
      </c>
      <c r="E25" s="4" t="s">
        <v>64</v>
      </c>
      <c r="F25" s="5" t="s">
        <v>20</v>
      </c>
      <c r="G25" s="5" t="s">
        <v>65</v>
      </c>
      <c r="H25" s="4" t="n">
        <v>3</v>
      </c>
      <c r="I25" s="5" t="s">
        <v>98</v>
      </c>
      <c r="J25" s="4" t="s">
        <v>23</v>
      </c>
      <c r="K25" s="4" t="s">
        <v>45</v>
      </c>
      <c r="L25" s="4" t="s">
        <v>46</v>
      </c>
      <c r="M25" s="5" t="s">
        <v>99</v>
      </c>
      <c r="N25" s="4" t="n">
        <v>100</v>
      </c>
      <c r="O25" s="5" t="s">
        <v>27</v>
      </c>
      <c r="P25" s="6" t="s">
        <v>47</v>
      </c>
    </row>
    <row r="26" customFormat="false" ht="15" hidden="false" customHeight="false" outlineLevel="0" collapsed="false">
      <c r="A26" s="4" t="n">
        <v>22</v>
      </c>
      <c r="B26" s="4" t="n">
        <v>6</v>
      </c>
      <c r="C26" s="5" t="s">
        <v>96</v>
      </c>
      <c r="D26" s="5" t="s">
        <v>97</v>
      </c>
      <c r="E26" s="4" t="s">
        <v>67</v>
      </c>
      <c r="F26" s="5" t="s">
        <v>20</v>
      </c>
      <c r="G26" s="5" t="s">
        <v>65</v>
      </c>
      <c r="H26" s="4" t="n">
        <v>3</v>
      </c>
      <c r="I26" s="5" t="s">
        <v>100</v>
      </c>
      <c r="J26" s="4" t="s">
        <v>38</v>
      </c>
      <c r="K26" s="4" t="s">
        <v>39</v>
      </c>
      <c r="L26" s="4" t="s">
        <v>40</v>
      </c>
      <c r="M26" s="5" t="s">
        <v>101</v>
      </c>
      <c r="N26" s="4" t="n">
        <v>80</v>
      </c>
      <c r="O26" s="5" t="s">
        <v>27</v>
      </c>
      <c r="P26" s="6" t="s">
        <v>42</v>
      </c>
    </row>
    <row r="27" customFormat="false" ht="15" hidden="false" customHeight="false" outlineLevel="0" collapsed="false">
      <c r="A27" s="4" t="n">
        <v>23</v>
      </c>
      <c r="B27" s="4" t="n">
        <v>6</v>
      </c>
      <c r="C27" s="5" t="s">
        <v>96</v>
      </c>
      <c r="D27" s="5" t="s">
        <v>97</v>
      </c>
      <c r="E27" s="4" t="s">
        <v>71</v>
      </c>
      <c r="F27" s="5" t="s">
        <v>20</v>
      </c>
      <c r="G27" s="5" t="s">
        <v>65</v>
      </c>
      <c r="H27" s="4" t="n">
        <v>3</v>
      </c>
      <c r="I27" s="5" t="s">
        <v>100</v>
      </c>
      <c r="J27" s="4" t="s">
        <v>38</v>
      </c>
      <c r="K27" s="4" t="s">
        <v>45</v>
      </c>
      <c r="L27" s="4" t="s">
        <v>46</v>
      </c>
      <c r="M27" s="5" t="s">
        <v>101</v>
      </c>
      <c r="N27" s="4" t="n">
        <v>80</v>
      </c>
      <c r="O27" s="5" t="s">
        <v>27</v>
      </c>
      <c r="P27" s="6" t="s">
        <v>52</v>
      </c>
    </row>
    <row r="28" customFormat="false" ht="15" hidden="false" customHeight="false" outlineLevel="0" collapsed="false">
      <c r="A28" s="4" t="n">
        <v>24</v>
      </c>
      <c r="B28" s="4" t="n">
        <v>6</v>
      </c>
      <c r="C28" s="5" t="s">
        <v>96</v>
      </c>
      <c r="D28" s="5" t="s">
        <v>97</v>
      </c>
      <c r="E28" s="4" t="s">
        <v>76</v>
      </c>
      <c r="F28" s="5" t="s">
        <v>20</v>
      </c>
      <c r="G28" s="5" t="s">
        <v>65</v>
      </c>
      <c r="H28" s="4" t="n">
        <v>3</v>
      </c>
      <c r="I28" s="5" t="s">
        <v>98</v>
      </c>
      <c r="J28" s="4" t="s">
        <v>38</v>
      </c>
      <c r="K28" s="4" t="s">
        <v>45</v>
      </c>
      <c r="L28" s="4" t="s">
        <v>46</v>
      </c>
      <c r="M28" s="5" t="s">
        <v>56</v>
      </c>
      <c r="N28" s="4" t="n">
        <v>80</v>
      </c>
      <c r="O28" s="5" t="s">
        <v>27</v>
      </c>
      <c r="P28" s="6" t="s">
        <v>52</v>
      </c>
    </row>
    <row r="29" customFormat="false" ht="15" hidden="false" customHeight="false" outlineLevel="0" collapsed="false">
      <c r="A29" s="4" t="n">
        <v>25</v>
      </c>
      <c r="B29" s="4" t="n">
        <v>6</v>
      </c>
      <c r="C29" s="5" t="s">
        <v>96</v>
      </c>
      <c r="D29" s="5" t="s">
        <v>97</v>
      </c>
      <c r="E29" s="4" t="s">
        <v>78</v>
      </c>
      <c r="F29" s="5" t="s">
        <v>20</v>
      </c>
      <c r="G29" s="5" t="s">
        <v>65</v>
      </c>
      <c r="H29" s="4" t="n">
        <v>3</v>
      </c>
      <c r="I29" s="5" t="s">
        <v>98</v>
      </c>
      <c r="J29" s="4" t="s">
        <v>33</v>
      </c>
      <c r="K29" s="4" t="s">
        <v>45</v>
      </c>
      <c r="L29" s="4" t="s">
        <v>46</v>
      </c>
      <c r="M29" s="5" t="s">
        <v>102</v>
      </c>
      <c r="N29" s="4" t="n">
        <v>80</v>
      </c>
      <c r="O29" s="5" t="s">
        <v>27</v>
      </c>
      <c r="P29" s="6" t="s">
        <v>81</v>
      </c>
    </row>
    <row r="30" customFormat="false" ht="15" hidden="false" customHeight="false" outlineLevel="0" collapsed="false">
      <c r="A30" s="4" t="n">
        <v>26</v>
      </c>
      <c r="B30" s="4" t="n">
        <v>6</v>
      </c>
      <c r="C30" s="5" t="s">
        <v>96</v>
      </c>
      <c r="D30" s="5" t="s">
        <v>97</v>
      </c>
      <c r="E30" s="4" t="s">
        <v>83</v>
      </c>
      <c r="F30" s="5" t="s">
        <v>84</v>
      </c>
      <c r="G30" s="5" t="s">
        <v>65</v>
      </c>
      <c r="H30" s="4" t="n">
        <v>3</v>
      </c>
      <c r="I30" s="5" t="s">
        <v>98</v>
      </c>
      <c r="J30" s="4" t="s">
        <v>33</v>
      </c>
      <c r="K30" s="4" t="s">
        <v>72</v>
      </c>
      <c r="L30" s="4" t="s">
        <v>73</v>
      </c>
      <c r="M30" s="5" t="s">
        <v>77</v>
      </c>
      <c r="N30" s="4" t="n">
        <v>50</v>
      </c>
      <c r="O30" s="5" t="s">
        <v>51</v>
      </c>
      <c r="P30" s="6" t="s">
        <v>103</v>
      </c>
    </row>
    <row r="31" customFormat="false" ht="15" hidden="false" customHeight="false" outlineLevel="0" collapsed="false">
      <c r="A31" s="4" t="n">
        <v>27</v>
      </c>
      <c r="B31" s="4" t="n">
        <v>6</v>
      </c>
      <c r="C31" s="5"/>
      <c r="D31" s="5" t="s">
        <v>104</v>
      </c>
      <c r="E31" s="4" t="s">
        <v>105</v>
      </c>
      <c r="F31" s="5" t="s">
        <v>20</v>
      </c>
      <c r="G31" s="5" t="s">
        <v>21</v>
      </c>
      <c r="H31" s="4" t="n">
        <v>3</v>
      </c>
      <c r="I31" s="5" t="s">
        <v>106</v>
      </c>
      <c r="J31" s="4" t="s">
        <v>55</v>
      </c>
      <c r="K31" s="4" t="s">
        <v>39</v>
      </c>
      <c r="L31" s="4" t="s">
        <v>40</v>
      </c>
      <c r="M31" s="5" t="s">
        <v>107</v>
      </c>
      <c r="N31" s="4" t="n">
        <v>50</v>
      </c>
      <c r="O31" s="5" t="s">
        <v>27</v>
      </c>
      <c r="P31" s="6" t="s">
        <v>57</v>
      </c>
    </row>
    <row r="32" customFormat="false" ht="15" hidden="false" customHeight="false" outlineLevel="0" collapsed="false">
      <c r="A32" s="4" t="n">
        <v>28</v>
      </c>
      <c r="B32" s="4" t="n">
        <v>6</v>
      </c>
      <c r="C32" s="5"/>
      <c r="D32" s="5" t="s">
        <v>108</v>
      </c>
      <c r="E32" s="4" t="s">
        <v>19</v>
      </c>
      <c r="F32" s="5" t="s">
        <v>20</v>
      </c>
      <c r="G32" s="5" t="s">
        <v>21</v>
      </c>
      <c r="H32" s="4" t="n">
        <v>3</v>
      </c>
      <c r="I32" s="5" t="s">
        <v>109</v>
      </c>
      <c r="J32" s="4" t="s">
        <v>38</v>
      </c>
      <c r="K32" s="4" t="s">
        <v>24</v>
      </c>
      <c r="L32" s="4" t="s">
        <v>25</v>
      </c>
      <c r="M32" s="5" t="s">
        <v>80</v>
      </c>
      <c r="N32" s="4" t="n">
        <v>50</v>
      </c>
      <c r="O32" s="5" t="s">
        <v>27</v>
      </c>
      <c r="P32" s="6" t="s">
        <v>70</v>
      </c>
    </row>
    <row r="33" customFormat="false" ht="15" hidden="false" customHeight="false" outlineLevel="0" collapsed="false">
      <c r="A33" s="4" t="n">
        <v>29</v>
      </c>
      <c r="B33" s="4" t="n">
        <v>6</v>
      </c>
      <c r="C33" s="5"/>
      <c r="D33" s="5" t="s">
        <v>110</v>
      </c>
      <c r="E33" s="4" t="s">
        <v>19</v>
      </c>
      <c r="F33" s="5" t="s">
        <v>20</v>
      </c>
      <c r="G33" s="5" t="s">
        <v>21</v>
      </c>
      <c r="H33" s="4" t="n">
        <v>3</v>
      </c>
      <c r="I33" s="5" t="s">
        <v>109</v>
      </c>
      <c r="J33" s="4" t="s">
        <v>111</v>
      </c>
      <c r="K33" s="4" t="s">
        <v>24</v>
      </c>
      <c r="L33" s="4" t="s">
        <v>25</v>
      </c>
      <c r="M33" s="5" t="s">
        <v>77</v>
      </c>
      <c r="N33" s="4" t="n">
        <v>50</v>
      </c>
      <c r="O33" s="5" t="s">
        <v>27</v>
      </c>
      <c r="P33" s="6" t="s">
        <v>112</v>
      </c>
    </row>
    <row r="34" customFormat="false" ht="15" hidden="false" customHeight="false" outlineLevel="0" collapsed="false">
      <c r="A34" s="4" t="n">
        <v>30</v>
      </c>
      <c r="B34" s="4" t="n">
        <v>6</v>
      </c>
      <c r="C34" s="5"/>
      <c r="D34" s="5" t="s">
        <v>113</v>
      </c>
      <c r="E34" s="4" t="s">
        <v>19</v>
      </c>
      <c r="F34" s="5" t="s">
        <v>20</v>
      </c>
      <c r="G34" s="5" t="s">
        <v>21</v>
      </c>
      <c r="H34" s="4" t="n">
        <v>3</v>
      </c>
      <c r="I34" s="5" t="s">
        <v>114</v>
      </c>
      <c r="J34" s="4" t="s">
        <v>23</v>
      </c>
      <c r="K34" s="4" t="s">
        <v>45</v>
      </c>
      <c r="L34" s="4" t="s">
        <v>46</v>
      </c>
      <c r="M34" s="5" t="s">
        <v>77</v>
      </c>
      <c r="N34" s="4" t="n">
        <v>50</v>
      </c>
      <c r="O34" s="5" t="s">
        <v>27</v>
      </c>
      <c r="P34" s="6" t="s">
        <v>47</v>
      </c>
    </row>
    <row r="35" customFormat="false" ht="15" hidden="false" customHeight="false" outlineLevel="0" collapsed="false">
      <c r="A35" s="4" t="n">
        <v>31</v>
      </c>
      <c r="B35" s="4" t="n">
        <v>6</v>
      </c>
      <c r="C35" s="5"/>
      <c r="D35" s="5" t="s">
        <v>115</v>
      </c>
      <c r="E35" s="4" t="s">
        <v>19</v>
      </c>
      <c r="F35" s="5" t="s">
        <v>20</v>
      </c>
      <c r="G35" s="5" t="s">
        <v>21</v>
      </c>
      <c r="H35" s="4" t="n">
        <v>3</v>
      </c>
      <c r="I35" s="5" t="s">
        <v>116</v>
      </c>
      <c r="J35" s="4" t="s">
        <v>23</v>
      </c>
      <c r="K35" s="4" t="s">
        <v>45</v>
      </c>
      <c r="L35" s="4" t="s">
        <v>46</v>
      </c>
      <c r="M35" s="5" t="s">
        <v>56</v>
      </c>
      <c r="N35" s="4" t="n">
        <v>80</v>
      </c>
      <c r="O35" s="5" t="s">
        <v>27</v>
      </c>
      <c r="P35" s="6" t="s">
        <v>47</v>
      </c>
    </row>
    <row r="36" customFormat="false" ht="15" hidden="false" customHeight="false" outlineLevel="0" collapsed="false">
      <c r="A36" s="4" t="n">
        <v>32</v>
      </c>
      <c r="B36" s="4" t="n">
        <v>6</v>
      </c>
      <c r="C36" s="5" t="s">
        <v>117</v>
      </c>
      <c r="D36" s="5" t="s">
        <v>118</v>
      </c>
      <c r="E36" s="4" t="s">
        <v>119</v>
      </c>
      <c r="F36" s="5" t="s">
        <v>31</v>
      </c>
      <c r="G36" s="5" t="s">
        <v>120</v>
      </c>
      <c r="H36" s="4" t="n">
        <v>3</v>
      </c>
      <c r="I36" s="5"/>
      <c r="J36" s="4" t="s">
        <v>38</v>
      </c>
      <c r="K36" s="4" t="s">
        <v>121</v>
      </c>
      <c r="L36" s="4" t="s">
        <v>122</v>
      </c>
      <c r="M36" s="5" t="s">
        <v>123</v>
      </c>
      <c r="N36" s="4"/>
      <c r="O36" s="5" t="s">
        <v>27</v>
      </c>
      <c r="P36" s="6" t="s">
        <v>124</v>
      </c>
    </row>
    <row r="37" customFormat="false" ht="15" hidden="false" customHeight="false" outlineLevel="0" collapsed="false">
      <c r="A37" s="4" t="n">
        <v>33</v>
      </c>
      <c r="B37" s="4" t="n">
        <v>6</v>
      </c>
      <c r="C37" s="5" t="s">
        <v>117</v>
      </c>
      <c r="D37" s="5" t="s">
        <v>118</v>
      </c>
      <c r="E37" s="4" t="s">
        <v>119</v>
      </c>
      <c r="F37" s="5" t="s">
        <v>84</v>
      </c>
      <c r="G37" s="5" t="s">
        <v>120</v>
      </c>
      <c r="H37" s="4" t="n">
        <v>3</v>
      </c>
      <c r="I37" s="5"/>
      <c r="J37" s="4" t="s">
        <v>111</v>
      </c>
      <c r="K37" s="4" t="s">
        <v>125</v>
      </c>
      <c r="L37" s="4" t="s">
        <v>126</v>
      </c>
      <c r="M37" s="5" t="s">
        <v>123</v>
      </c>
      <c r="N37" s="4"/>
      <c r="O37" s="5" t="s">
        <v>51</v>
      </c>
      <c r="P37" s="6" t="s">
        <v>127</v>
      </c>
    </row>
    <row r="38" customFormat="false" ht="15" hidden="false" customHeight="false" outlineLevel="0" collapsed="false">
      <c r="A38" s="4" t="n">
        <v>34</v>
      </c>
      <c r="B38" s="4" t="n">
        <v>6</v>
      </c>
      <c r="C38" s="5" t="s">
        <v>117</v>
      </c>
      <c r="D38" s="5" t="s">
        <v>118</v>
      </c>
      <c r="E38" s="4" t="s">
        <v>119</v>
      </c>
      <c r="F38" s="5" t="s">
        <v>128</v>
      </c>
      <c r="G38" s="5" t="s">
        <v>120</v>
      </c>
      <c r="H38" s="4" t="n">
        <v>3</v>
      </c>
      <c r="I38" s="5"/>
      <c r="J38" s="4" t="s">
        <v>111</v>
      </c>
      <c r="K38" s="4" t="s">
        <v>72</v>
      </c>
      <c r="L38" s="4" t="s">
        <v>73</v>
      </c>
      <c r="M38" s="5" t="s">
        <v>123</v>
      </c>
      <c r="N38" s="4"/>
      <c r="O38" s="5" t="s">
        <v>27</v>
      </c>
      <c r="P38" s="6" t="s">
        <v>129</v>
      </c>
    </row>
    <row r="39" customFormat="false" ht="15" hidden="false" customHeight="false" outlineLevel="0" collapsed="false">
      <c r="A39" s="4" t="n">
        <v>35</v>
      </c>
      <c r="B39" s="4" t="n">
        <v>6</v>
      </c>
      <c r="C39" s="5" t="s">
        <v>130</v>
      </c>
      <c r="D39" s="5" t="s">
        <v>131</v>
      </c>
      <c r="E39" s="4" t="s">
        <v>119</v>
      </c>
      <c r="F39" s="5" t="s">
        <v>84</v>
      </c>
      <c r="G39" s="5" t="s">
        <v>120</v>
      </c>
      <c r="H39" s="4" t="n">
        <v>3</v>
      </c>
      <c r="I39" s="5"/>
      <c r="J39" s="4" t="s">
        <v>38</v>
      </c>
      <c r="K39" s="4" t="s">
        <v>39</v>
      </c>
      <c r="L39" s="4" t="s">
        <v>40</v>
      </c>
      <c r="M39" s="5" t="s">
        <v>123</v>
      </c>
      <c r="N39" s="4"/>
      <c r="O39" s="5" t="s">
        <v>51</v>
      </c>
      <c r="P39" s="6" t="s">
        <v>132</v>
      </c>
    </row>
    <row r="40" customFormat="false" ht="15" hidden="false" customHeight="false" outlineLevel="0" collapsed="false">
      <c r="A40" s="4" t="n">
        <v>36</v>
      </c>
      <c r="B40" s="4" t="n">
        <v>6</v>
      </c>
      <c r="C40" s="5" t="s">
        <v>130</v>
      </c>
      <c r="D40" s="5" t="s">
        <v>131</v>
      </c>
      <c r="E40" s="4" t="s">
        <v>119</v>
      </c>
      <c r="F40" s="5" t="s">
        <v>128</v>
      </c>
      <c r="G40" s="5" t="s">
        <v>120</v>
      </c>
      <c r="H40" s="4" t="n">
        <v>3</v>
      </c>
      <c r="I40" s="5"/>
      <c r="J40" s="4" t="s">
        <v>111</v>
      </c>
      <c r="K40" s="4" t="s">
        <v>125</v>
      </c>
      <c r="L40" s="4" t="s">
        <v>126</v>
      </c>
      <c r="M40" s="5" t="s">
        <v>123</v>
      </c>
      <c r="N40" s="4"/>
      <c r="O40" s="5" t="s">
        <v>27</v>
      </c>
      <c r="P40" s="6" t="s">
        <v>127</v>
      </c>
    </row>
    <row r="41" customFormat="false" ht="15" hidden="false" customHeight="false" outlineLevel="0" collapsed="false">
      <c r="A41" s="4" t="n">
        <v>37</v>
      </c>
      <c r="B41" s="4" t="n">
        <v>6</v>
      </c>
      <c r="C41" s="5" t="s">
        <v>130</v>
      </c>
      <c r="D41" s="5" t="s">
        <v>131</v>
      </c>
      <c r="E41" s="4" t="s">
        <v>119</v>
      </c>
      <c r="F41" s="5" t="s">
        <v>31</v>
      </c>
      <c r="G41" s="5" t="s">
        <v>120</v>
      </c>
      <c r="H41" s="4" t="n">
        <v>3</v>
      </c>
      <c r="I41" s="5"/>
      <c r="J41" s="4" t="s">
        <v>55</v>
      </c>
      <c r="K41" s="4" t="s">
        <v>24</v>
      </c>
      <c r="L41" s="4" t="s">
        <v>25</v>
      </c>
      <c r="M41" s="5" t="s">
        <v>123</v>
      </c>
      <c r="N41" s="4"/>
      <c r="O41" s="5" t="s">
        <v>27</v>
      </c>
      <c r="P41" s="6" t="s">
        <v>133</v>
      </c>
    </row>
    <row r="42" customFormat="false" ht="15" hidden="false" customHeight="false" outlineLevel="0" collapsed="false">
      <c r="A42" s="4" t="n">
        <v>38</v>
      </c>
      <c r="B42" s="4" t="n">
        <v>6</v>
      </c>
      <c r="C42" s="5" t="s">
        <v>134</v>
      </c>
      <c r="D42" s="5" t="s">
        <v>135</v>
      </c>
      <c r="E42" s="4" t="s">
        <v>119</v>
      </c>
      <c r="F42" s="5" t="s">
        <v>31</v>
      </c>
      <c r="G42" s="5" t="s">
        <v>120</v>
      </c>
      <c r="H42" s="4" t="n">
        <v>3</v>
      </c>
      <c r="I42" s="5"/>
      <c r="J42" s="4" t="s">
        <v>38</v>
      </c>
      <c r="K42" s="4" t="s">
        <v>24</v>
      </c>
      <c r="L42" s="4" t="s">
        <v>25</v>
      </c>
      <c r="M42" s="5" t="s">
        <v>123</v>
      </c>
      <c r="N42" s="4"/>
      <c r="O42" s="5" t="s">
        <v>27</v>
      </c>
      <c r="P42" s="6" t="s">
        <v>70</v>
      </c>
    </row>
    <row r="43" customFormat="false" ht="15" hidden="false" customHeight="false" outlineLevel="0" collapsed="false">
      <c r="A43" s="4" t="n">
        <v>39</v>
      </c>
      <c r="B43" s="4" t="n">
        <v>6</v>
      </c>
      <c r="C43" s="5" t="s">
        <v>134</v>
      </c>
      <c r="D43" s="5" t="s">
        <v>135</v>
      </c>
      <c r="E43" s="4" t="s">
        <v>119</v>
      </c>
      <c r="F43" s="5" t="s">
        <v>84</v>
      </c>
      <c r="G43" s="5" t="s">
        <v>120</v>
      </c>
      <c r="H43" s="4" t="n">
        <v>3</v>
      </c>
      <c r="I43" s="5"/>
      <c r="J43" s="4" t="s">
        <v>111</v>
      </c>
      <c r="K43" s="4" t="s">
        <v>121</v>
      </c>
      <c r="L43" s="4" t="s">
        <v>122</v>
      </c>
      <c r="M43" s="5" t="s">
        <v>123</v>
      </c>
      <c r="N43" s="4"/>
      <c r="O43" s="5" t="s">
        <v>51</v>
      </c>
      <c r="P43" s="6" t="s">
        <v>136</v>
      </c>
    </row>
    <row r="44" customFormat="false" ht="15" hidden="false" customHeight="false" outlineLevel="0" collapsed="false">
      <c r="A44" s="4" t="n">
        <v>40</v>
      </c>
      <c r="B44" s="4" t="n">
        <v>6</v>
      </c>
      <c r="C44" s="5" t="s">
        <v>134</v>
      </c>
      <c r="D44" s="5" t="s">
        <v>135</v>
      </c>
      <c r="E44" s="4" t="s">
        <v>119</v>
      </c>
      <c r="F44" s="5" t="s">
        <v>128</v>
      </c>
      <c r="G44" s="5" t="s">
        <v>120</v>
      </c>
      <c r="H44" s="4" t="n">
        <v>3</v>
      </c>
      <c r="I44" s="5"/>
      <c r="J44" s="4" t="s">
        <v>111</v>
      </c>
      <c r="K44" s="4" t="s">
        <v>39</v>
      </c>
      <c r="L44" s="4" t="s">
        <v>40</v>
      </c>
      <c r="M44" s="5" t="s">
        <v>123</v>
      </c>
      <c r="N44" s="4"/>
      <c r="O44" s="5" t="s">
        <v>27</v>
      </c>
      <c r="P44" s="6" t="s">
        <v>137</v>
      </c>
    </row>
    <row r="45" customFormat="false" ht="15" hidden="false" customHeight="false" outlineLevel="0" collapsed="false">
      <c r="A45" s="4" t="n">
        <v>41</v>
      </c>
      <c r="B45" s="4" t="n">
        <v>6</v>
      </c>
      <c r="C45" s="5" t="s">
        <v>138</v>
      </c>
      <c r="D45" s="5" t="s">
        <v>139</v>
      </c>
      <c r="E45" s="4" t="s">
        <v>119</v>
      </c>
      <c r="F45" s="5" t="s">
        <v>84</v>
      </c>
      <c r="G45" s="5" t="s">
        <v>120</v>
      </c>
      <c r="H45" s="4" t="n">
        <v>3</v>
      </c>
      <c r="I45" s="5"/>
      <c r="J45" s="4" t="s">
        <v>33</v>
      </c>
      <c r="K45" s="4" t="s">
        <v>39</v>
      </c>
      <c r="L45" s="4" t="s">
        <v>40</v>
      </c>
      <c r="M45" s="5" t="s">
        <v>123</v>
      </c>
      <c r="N45" s="4"/>
      <c r="O45" s="5" t="s">
        <v>51</v>
      </c>
      <c r="P45" s="6" t="s">
        <v>140</v>
      </c>
    </row>
    <row r="46" customFormat="false" ht="15" hidden="false" customHeight="false" outlineLevel="0" collapsed="false">
      <c r="A46" s="4" t="n">
        <v>42</v>
      </c>
      <c r="B46" s="4" t="n">
        <v>6</v>
      </c>
      <c r="C46" s="5" t="s">
        <v>138</v>
      </c>
      <c r="D46" s="5" t="s">
        <v>139</v>
      </c>
      <c r="E46" s="4" t="s">
        <v>119</v>
      </c>
      <c r="F46" s="5" t="s">
        <v>141</v>
      </c>
      <c r="G46" s="5" t="s">
        <v>120</v>
      </c>
      <c r="H46" s="4" t="n">
        <v>3</v>
      </c>
      <c r="I46" s="5"/>
      <c r="J46" s="4" t="s">
        <v>38</v>
      </c>
      <c r="K46" s="4" t="s">
        <v>39</v>
      </c>
      <c r="L46" s="4" t="s">
        <v>40</v>
      </c>
      <c r="M46" s="5" t="s">
        <v>123</v>
      </c>
      <c r="N46" s="4"/>
      <c r="O46" s="5" t="s">
        <v>27</v>
      </c>
      <c r="P46" s="6" t="s">
        <v>132</v>
      </c>
    </row>
    <row r="47" customFormat="false" ht="15" hidden="false" customHeight="false" outlineLevel="0" collapsed="false">
      <c r="A47" s="4" t="n">
        <v>43</v>
      </c>
      <c r="B47" s="4" t="n">
        <v>6</v>
      </c>
      <c r="C47" s="5" t="s">
        <v>138</v>
      </c>
      <c r="D47" s="5" t="s">
        <v>139</v>
      </c>
      <c r="E47" s="4" t="s">
        <v>119</v>
      </c>
      <c r="F47" s="5" t="s">
        <v>20</v>
      </c>
      <c r="G47" s="5" t="s">
        <v>120</v>
      </c>
      <c r="H47" s="4" t="n">
        <v>3</v>
      </c>
      <c r="I47" s="5"/>
      <c r="J47" s="4" t="s">
        <v>38</v>
      </c>
      <c r="K47" s="4" t="s">
        <v>72</v>
      </c>
      <c r="L47" s="4" t="s">
        <v>73</v>
      </c>
      <c r="M47" s="5" t="s">
        <v>123</v>
      </c>
      <c r="N47" s="4"/>
      <c r="O47" s="5" t="s">
        <v>27</v>
      </c>
      <c r="P47" s="6" t="s">
        <v>42</v>
      </c>
    </row>
    <row r="48" customFormat="false" ht="15" hidden="false" customHeight="false" outlineLevel="0" collapsed="false">
      <c r="A48" s="7" t="n">
        <v>44</v>
      </c>
      <c r="B48" s="7" t="n">
        <v>8</v>
      </c>
      <c r="C48" s="8" t="s">
        <v>142</v>
      </c>
      <c r="D48" s="8" t="s">
        <v>143</v>
      </c>
      <c r="E48" s="7" t="s">
        <v>64</v>
      </c>
      <c r="F48" s="8" t="s">
        <v>144</v>
      </c>
      <c r="G48" s="8" t="s">
        <v>145</v>
      </c>
      <c r="H48" s="7" t="n">
        <v>2</v>
      </c>
      <c r="I48" s="8" t="s">
        <v>146</v>
      </c>
      <c r="J48" s="7" t="s">
        <v>55</v>
      </c>
      <c r="K48" s="7" t="s">
        <v>39</v>
      </c>
      <c r="L48" s="7" t="s">
        <v>40</v>
      </c>
      <c r="M48" s="8" t="s">
        <v>147</v>
      </c>
      <c r="N48" s="7"/>
      <c r="O48" s="8" t="s">
        <v>27</v>
      </c>
      <c r="P48" s="9" t="s">
        <v>57</v>
      </c>
    </row>
    <row r="50" customFormat="false" ht="15" hidden="false" customHeight="false" outlineLevel="0" collapsed="false">
      <c r="A50" s="10" t="s">
        <v>148</v>
      </c>
    </row>
    <row r="51" customFormat="false" ht="15" hidden="false" customHeight="false" outlineLevel="0" collapsed="false">
      <c r="A51" s="11" t="s">
        <v>149</v>
      </c>
      <c r="D51" s="11" t="n">
        <f aca="false">COUNTIF(B5:B48,6)</f>
        <v>43</v>
      </c>
    </row>
    <row r="52" customFormat="false" ht="15" hidden="false" customHeight="false" outlineLevel="0" collapsed="false">
      <c r="A52" s="11" t="s">
        <v>150</v>
      </c>
      <c r="D52" s="11" t="n">
        <f aca="false">COUNTIF(B5:B48,8)</f>
        <v>1</v>
      </c>
    </row>
    <row r="53" customFormat="false" ht="15" hidden="false" customHeight="false" outlineLevel="0" collapsed="false">
      <c r="A53" s="11" t="s">
        <v>151</v>
      </c>
      <c r="D53" s="11" t="n">
        <f aca="false">COUNTIF(G5:G48,"Pilihan")</f>
        <v>18</v>
      </c>
    </row>
    <row r="54" customFormat="false" ht="15" hidden="false" customHeight="false" outlineLevel="0" collapsed="false">
      <c r="A54" s="11" t="s">
        <v>152</v>
      </c>
      <c r="D54" s="11" t="n">
        <f aca="false">COUNTIF(O5:O48,"English")</f>
        <v>11</v>
      </c>
    </row>
    <row r="56" customFormat="false" ht="15" hidden="false" customHeight="false" outlineLevel="0" collapsed="false">
      <c r="A56" s="12" t="s">
        <v>153</v>
      </c>
    </row>
  </sheetData>
  <autoFilter ref="A4:P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2023-07-07T08:56:56Z</dcterms:created>
  <dc:creator>Inka</dc:creator>
  <dc:description/>
  <dc:language>en-US</dc:language>
  <cp:lastModifiedBy/>
  <dcterms:modified xsi:type="dcterms:W3CDTF">2026-10-29T00:42:35Z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